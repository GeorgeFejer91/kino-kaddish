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gpsy-vrlab\Documents\GitHub\kino-kaddish\19-04_Karlshorst\"/>
    </mc:Choice>
  </mc:AlternateContent>
  <xr:revisionPtr revIDLastSave="0" documentId="13_ncr:1_{AB05C5C4-F11C-46BC-A72F-051D45A27D89}" xr6:coauthVersionLast="47" xr6:coauthVersionMax="47" xr10:uidLastSave="{00000000-0000-0000-0000-000000000000}"/>
  <bookViews>
    <workbookView xWindow="-108" yWindow="-108" windowWidth="23256" windowHeight="12456" xr2:uid="{247B75D1-848F-446F-A37A-25A672C9BC3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F13" i="1"/>
  <c r="D10" i="1"/>
  <c r="D8" i="1"/>
  <c r="D13" i="1" s="1"/>
</calcChain>
</file>

<file path=xl/sharedStrings.xml><?xml version="1.0" encoding="utf-8"?>
<sst xmlns="http://schemas.openxmlformats.org/spreadsheetml/2006/main" count="28" uniqueCount="26">
  <si>
    <t>Personen</t>
  </si>
  <si>
    <t>Kosten einzeln</t>
  </si>
  <si>
    <t>Gesamtkosten</t>
  </si>
  <si>
    <t>zusätzl. Bewirtungskosten (koscher/halal)</t>
  </si>
  <si>
    <t>Honorare</t>
  </si>
  <si>
    <t>Kosten pro Veranstaltung:</t>
  </si>
  <si>
    <t>Begleitprogramm</t>
  </si>
  <si>
    <t>Raumkosten öffentl. VA (Miete, Technik, Nebenkosten)</t>
  </si>
  <si>
    <t>Sicherheitsdienst</t>
  </si>
  <si>
    <t>Unterkunfts- und Reisekosten:</t>
  </si>
  <si>
    <t>Referent*innen, Input, Moderation</t>
  </si>
  <si>
    <t>Catering Empfang öffentl. VA</t>
  </si>
  <si>
    <t>Programm gegen Antisemitismus "Nie wieder!?"</t>
  </si>
  <si>
    <t>31.03.2026: Komm und Sieh // Gedenkstätte Sachsenhausen</t>
  </si>
  <si>
    <t>Karlhorst</t>
  </si>
  <si>
    <t>Raummiete</t>
  </si>
  <si>
    <t>Vorhanden (???? Genug????)</t>
  </si>
  <si>
    <t>Extern</t>
  </si>
  <si>
    <t>Olga  Kaspers</t>
  </si>
  <si>
    <t>Irina Scherbakowa</t>
  </si>
  <si>
    <t>Prof. Dr. Viktoriya Sukovata</t>
  </si>
  <si>
    <t>Filmtechnik | Sound | Breamer</t>
  </si>
  <si>
    <t>Kosten</t>
  </si>
  <si>
    <t>Führung</t>
  </si>
  <si>
    <t>Führungen (2X)</t>
  </si>
  <si>
    <t xml:space="preserve">Catering | 60 Teilnehmer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</si>
</sst>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Garamond"/>
      <family val="1"/>
    </font>
    <font>
      <b/>
      <sz val="12"/>
      <color theme="1"/>
      <name val="Garamond"/>
      <family val="1"/>
    </font>
    <font>
      <i/>
      <sz val="12"/>
      <color theme="1"/>
      <name val="Garamond"/>
      <family val="1"/>
    </font>
    <font>
      <sz val="12"/>
      <color theme="1"/>
      <name val="Garamond"/>
      <family val="1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 wrapText="1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4" fontId="2" fillId="0" borderId="3" xfId="0" applyNumberFormat="1" applyFont="1" applyBorder="1" applyAlignment="1">
      <alignment horizontal="right"/>
    </xf>
    <xf numFmtId="0" fontId="0" fillId="2" borderId="0" xfId="0" applyFill="1"/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0" fontId="0" fillId="0" borderId="5" xfId="0" applyBorder="1"/>
    <xf numFmtId="0" fontId="4" fillId="0" borderId="7" xfId="0" applyFont="1" applyBorder="1" applyAlignment="1">
      <alignment horizontal="right" wrapText="1"/>
    </xf>
    <xf numFmtId="0" fontId="4" fillId="0" borderId="0" xfId="0" applyFon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0" fontId="0" fillId="0" borderId="0" xfId="0" applyBorder="1"/>
    <xf numFmtId="0" fontId="4" fillId="0" borderId="7" xfId="0" applyFont="1" applyBorder="1" applyAlignment="1">
      <alignment horizontal="left"/>
    </xf>
    <xf numFmtId="0" fontId="4" fillId="0" borderId="9" xfId="0" applyFont="1" applyBorder="1" applyAlignment="1">
      <alignment horizontal="right" wrapText="1"/>
    </xf>
    <xf numFmtId="0" fontId="4" fillId="0" borderId="10" xfId="0" applyFont="1" applyBorder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0" fillId="0" borderId="10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0" xfId="0" applyFill="1" applyAlignment="1"/>
    <xf numFmtId="0" fontId="0" fillId="0" borderId="10" xfId="0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7788-004A-4C1F-B98B-E765C7160FB8}">
  <dimension ref="A1:H14"/>
  <sheetViews>
    <sheetView tabSelected="1" workbookViewId="0">
      <selection activeCell="F15" sqref="F15"/>
    </sheetView>
  </sheetViews>
  <sheetFormatPr defaultColWidth="11.5546875" defaultRowHeight="19.95" customHeight="1" x14ac:dyDescent="0.3"/>
  <cols>
    <col min="1" max="1" width="70" customWidth="1"/>
    <col min="2" max="3" width="15.44140625" customWidth="1"/>
    <col min="4" max="4" width="17.33203125" customWidth="1"/>
    <col min="5" max="5" width="28.21875" style="18" customWidth="1"/>
    <col min="6" max="6" width="11.33203125" customWidth="1"/>
    <col min="7" max="7" width="25.33203125" style="40" customWidth="1"/>
    <col min="8" max="8" width="14" style="18" customWidth="1"/>
  </cols>
  <sheetData>
    <row r="1" spans="1:8" ht="19.95" customHeight="1" x14ac:dyDescent="0.35">
      <c r="A1" s="1" t="s">
        <v>12</v>
      </c>
      <c r="B1" s="2"/>
      <c r="C1" s="3"/>
      <c r="D1" s="3"/>
    </row>
    <row r="2" spans="1:8" ht="19.95" customHeight="1" x14ac:dyDescent="0.3">
      <c r="A2" s="13"/>
      <c r="B2" s="8"/>
      <c r="C2" s="9"/>
      <c r="D2" s="3"/>
    </row>
    <row r="3" spans="1:8" ht="19.95" customHeight="1" x14ac:dyDescent="0.3">
      <c r="A3" s="4" t="s">
        <v>6</v>
      </c>
      <c r="B3" s="2"/>
      <c r="C3" s="3"/>
      <c r="D3" s="3"/>
    </row>
    <row r="4" spans="1:8" ht="19.95" customHeight="1" x14ac:dyDescent="0.3">
      <c r="A4" s="14" t="s">
        <v>13</v>
      </c>
      <c r="B4" s="5" t="s">
        <v>0</v>
      </c>
      <c r="C4" s="6" t="s">
        <v>1</v>
      </c>
      <c r="D4" s="6" t="s">
        <v>2</v>
      </c>
      <c r="E4" s="37" t="s">
        <v>14</v>
      </c>
      <c r="F4" s="17" t="s">
        <v>22</v>
      </c>
      <c r="G4" s="41" t="s">
        <v>17</v>
      </c>
      <c r="H4" s="35" t="s">
        <v>22</v>
      </c>
    </row>
    <row r="5" spans="1:8" ht="45.6" customHeight="1" x14ac:dyDescent="0.3">
      <c r="A5" s="7" t="s">
        <v>7</v>
      </c>
      <c r="B5" s="8"/>
      <c r="C5" s="9"/>
      <c r="D5" s="9">
        <v>2000</v>
      </c>
      <c r="E5" s="18" t="s">
        <v>15</v>
      </c>
      <c r="F5" s="18">
        <v>200</v>
      </c>
      <c r="G5" s="40" t="s">
        <v>21</v>
      </c>
      <c r="H5" s="18">
        <v>1250</v>
      </c>
    </row>
    <row r="6" spans="1:8" ht="19.95" customHeight="1" thickBot="1" x14ac:dyDescent="0.35">
      <c r="A6" s="10" t="s">
        <v>8</v>
      </c>
      <c r="B6" s="8"/>
      <c r="C6" s="9"/>
      <c r="D6" s="9">
        <v>500</v>
      </c>
      <c r="E6" s="18" t="s">
        <v>16</v>
      </c>
    </row>
    <row r="7" spans="1:8" ht="19.95" customHeight="1" x14ac:dyDescent="0.3">
      <c r="A7" s="19" t="s">
        <v>9</v>
      </c>
      <c r="B7" s="20"/>
      <c r="C7" s="21"/>
      <c r="D7" s="21"/>
      <c r="E7" s="38"/>
      <c r="F7" s="22"/>
      <c r="G7" s="42" t="s">
        <v>18</v>
      </c>
      <c r="H7" s="32">
        <v>750</v>
      </c>
    </row>
    <row r="8" spans="1:8" ht="19.95" customHeight="1" x14ac:dyDescent="0.3">
      <c r="A8" s="23" t="s">
        <v>10</v>
      </c>
      <c r="B8" s="24">
        <v>4</v>
      </c>
      <c r="C8" s="25">
        <v>250</v>
      </c>
      <c r="D8" s="25">
        <f>B8*C8</f>
        <v>1000</v>
      </c>
      <c r="E8" s="39"/>
      <c r="F8" s="26"/>
      <c r="G8" s="43" t="s">
        <v>20</v>
      </c>
      <c r="H8" s="33">
        <v>750</v>
      </c>
    </row>
    <row r="9" spans="1:8" ht="19.95" customHeight="1" x14ac:dyDescent="0.3">
      <c r="A9" s="27" t="s">
        <v>4</v>
      </c>
      <c r="B9" s="24"/>
      <c r="C9" s="25"/>
      <c r="D9" s="25"/>
      <c r="E9" s="39"/>
      <c r="F9" s="26"/>
      <c r="G9" s="43" t="s">
        <v>19</v>
      </c>
      <c r="H9" s="33">
        <v>750</v>
      </c>
    </row>
    <row r="10" spans="1:8" ht="19.95" customHeight="1" thickBot="1" x14ac:dyDescent="0.35">
      <c r="A10" s="28" t="s">
        <v>10</v>
      </c>
      <c r="B10" s="29">
        <v>4</v>
      </c>
      <c r="C10" s="30">
        <v>500</v>
      </c>
      <c r="D10" s="30">
        <f>B10*C10</f>
        <v>2000</v>
      </c>
      <c r="E10" s="36" t="s">
        <v>24</v>
      </c>
      <c r="F10" s="31"/>
      <c r="G10" s="44" t="s">
        <v>23</v>
      </c>
      <c r="H10" s="34"/>
    </row>
    <row r="11" spans="1:8" ht="19.95" customHeight="1" x14ac:dyDescent="0.3">
      <c r="A11" s="10" t="s">
        <v>11</v>
      </c>
      <c r="B11" s="8"/>
      <c r="C11" s="9"/>
      <c r="D11" s="9">
        <v>1500</v>
      </c>
      <c r="G11" s="46" t="s">
        <v>25</v>
      </c>
    </row>
    <row r="12" spans="1:8" ht="19.95" customHeight="1" x14ac:dyDescent="0.3">
      <c r="A12" s="10" t="s">
        <v>3</v>
      </c>
      <c r="B12" s="8"/>
      <c r="C12" s="9"/>
      <c r="D12" s="9">
        <v>500</v>
      </c>
      <c r="G12" s="45"/>
    </row>
    <row r="13" spans="1:8" ht="19.95" customHeight="1" x14ac:dyDescent="0.3">
      <c r="A13" s="15" t="s">
        <v>5</v>
      </c>
      <c r="B13" s="11"/>
      <c r="C13" s="12"/>
      <c r="D13" s="16">
        <f>SUM(D5:D12)</f>
        <v>7500</v>
      </c>
      <c r="F13">
        <f>SUM(F5:F12)</f>
        <v>200</v>
      </c>
      <c r="H13">
        <f t="shared" ref="G13:H13" si="0">SUM(H5:H12)</f>
        <v>3500</v>
      </c>
    </row>
    <row r="14" spans="1:8" ht="19.95" customHeight="1" x14ac:dyDescent="0.3">
      <c r="A14" s="13"/>
      <c r="B14" s="8"/>
      <c r="C14" s="9"/>
      <c r="D14" s="3"/>
    </row>
  </sheetData>
  <mergeCells count="1">
    <mergeCell ref="G11:G1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Ernst Ludwig Ehrlich Studienwerk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ELES | Annett Peschel</dc:creator>
  <cp:lastModifiedBy>George Fejer</cp:lastModifiedBy>
  <dcterms:created xsi:type="dcterms:W3CDTF">2025-06-11T12:03:24Z</dcterms:created>
  <dcterms:modified xsi:type="dcterms:W3CDTF">2026-03-17T17:15:02Z</dcterms:modified>
</cp:coreProperties>
</file>